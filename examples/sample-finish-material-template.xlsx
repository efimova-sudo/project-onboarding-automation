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sh Materia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A6B3A"/>
      <sz val="10"/>
    </font>
    <font>
      <name val="Arial"/>
      <b val="1"/>
      <color rgb="00000000"/>
      <sz val="10"/>
    </font>
    <font>
      <name val="Arial"/>
      <b val="1"/>
      <color rgb="001A6B3A"/>
      <sz val="10"/>
    </font>
    <font>
      <name val="Arial"/>
      <i val="1"/>
      <color rgb="00AAAAAA"/>
      <sz val="8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D566E"/>
        <bgColor rgb="003D566E"/>
      </patternFill>
    </fill>
    <fill>
      <patternFill patternType="solid">
        <fgColor rgb="00FFFFFF"/>
        <bgColor rgb="00FFFFFF"/>
      </patternFill>
    </fill>
    <fill>
      <patternFill patternType="solid">
        <fgColor rgb="00F7F9FA"/>
        <bgColor rgb="00F7F9FA"/>
      </patternFill>
    </fill>
    <fill>
      <patternFill patternType="solid">
        <fgColor rgb="00D5E8D4"/>
        <bgColor rgb="00D5E8D4"/>
      </patternFill>
    </fill>
    <fill>
      <patternFill patternType="solid">
        <fgColor rgb="00FAD7A0"/>
        <bgColor rgb="00FAD7A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164" fontId="6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5" fillId="7" borderId="0" applyAlignment="1" pivotButton="0" quotePrefix="0" xfId="0">
      <alignment horizontal="center" vertical="center"/>
    </xf>
    <xf numFmtId="164" fontId="5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3" customWidth="1" min="4" max="4"/>
    <col width="11" customWidth="1" min="5" max="5"/>
    <col width="10" customWidth="1" min="6" max="6"/>
    <col width="12" customWidth="1" min="7" max="7"/>
    <col width="22" customWidth="1" min="8" max="8"/>
    <col width="22" customWidth="1" min="9" max="9"/>
    <col width="10" customWidth="1" min="10" max="10"/>
    <col width="13" customWidth="1" min="11" max="11"/>
    <col width="20" customWidth="1" min="12" max="12"/>
  </cols>
  <sheetData>
    <row r="1" ht="28" customHeight="1">
      <c r="A1" s="1" t="inlineStr">
        <is>
          <t>Finish Material List — Alex Morgan | Sunroom Conversion</t>
        </is>
      </c>
    </row>
    <row r="2" ht="6" customHeight="1"/>
    <row r="3" ht="20" customHeight="1">
      <c r="A3" s="2" t="inlineStr">
        <is>
          <t>Date Ordered</t>
        </is>
      </c>
      <c r="B3" s="2" t="inlineStr">
        <is>
          <t>Material</t>
        </is>
      </c>
      <c r="C3" s="2" t="inlineStr">
        <is>
          <t>Unit</t>
        </is>
      </c>
      <c r="D3" s="2" t="inlineStr">
        <is>
          <t>Supplied By</t>
        </is>
      </c>
      <c r="E3" s="2" t="inlineStr">
        <is>
          <t>Unit Price</t>
        </is>
      </c>
      <c r="F3" s="2" t="inlineStr">
        <is>
          <t>Quantity</t>
        </is>
      </c>
      <c r="G3" s="2" t="inlineStr">
        <is>
          <t>Total Price</t>
        </is>
      </c>
      <c r="H3" s="2" t="inlineStr">
        <is>
          <t>Specs / Model</t>
        </is>
      </c>
      <c r="I3" s="2" t="inlineStr">
        <is>
          <t>Purchase Link</t>
        </is>
      </c>
      <c r="J3" s="2" t="inlineStr">
        <is>
          <t>Ordered?</t>
        </is>
      </c>
      <c r="K3" s="2" t="inlineStr">
        <is>
          <t>Status</t>
        </is>
      </c>
      <c r="L3" s="2" t="inlineStr">
        <is>
          <t>Notes</t>
        </is>
      </c>
    </row>
    <row r="4" ht="18" customHeight="1">
      <c r="A4" s="3" t="n"/>
      <c r="B4" s="4" t="inlineStr">
        <is>
          <t>Window Package (4 casement windows)</t>
        </is>
      </c>
      <c r="C4" s="3" t="inlineStr">
        <is>
          <t>Set</t>
        </is>
      </c>
      <c r="D4" s="3" t="inlineStr">
        <is>
          <t>By Client</t>
        </is>
      </c>
      <c r="E4" s="5" t="n">
        <v>2800</v>
      </c>
      <c r="F4" s="3" t="n">
        <v>1</v>
      </c>
      <c r="G4" s="6">
        <f>F4*E4</f>
        <v/>
      </c>
      <c r="H4" s="4" t="n"/>
      <c r="I4" s="4" t="n"/>
      <c r="J4" s="3" t="b">
        <v>0</v>
      </c>
      <c r="K4" s="3" t="n"/>
      <c r="L4" s="4" t="n"/>
    </row>
    <row r="5" ht="18" customHeight="1">
      <c r="A5" s="7" t="n"/>
      <c r="B5" s="8" t="inlineStr">
        <is>
          <t>Entry Door</t>
        </is>
      </c>
      <c r="C5" s="7" t="inlineStr">
        <is>
          <t>Each</t>
        </is>
      </c>
      <c r="D5" s="7" t="inlineStr">
        <is>
          <t>By Client</t>
        </is>
      </c>
      <c r="E5" s="9" t="n">
        <v>950</v>
      </c>
      <c r="F5" s="7" t="n">
        <v>1</v>
      </c>
      <c r="G5" s="10">
        <f>F5*E5</f>
        <v/>
      </c>
      <c r="H5" s="8" t="n"/>
      <c r="I5" s="8" t="n"/>
      <c r="J5" s="7" t="b">
        <v>0</v>
      </c>
      <c r="K5" s="7" t="n"/>
      <c r="L5" s="8" t="n"/>
    </row>
    <row r="6" ht="18" customHeight="1">
      <c r="A6" s="3" t="n"/>
      <c r="B6" s="4" t="inlineStr">
        <is>
          <t>Tile — Sunroom Floor</t>
        </is>
      </c>
      <c r="C6" s="3" t="inlineStr">
        <is>
          <t>Sq Ft</t>
        </is>
      </c>
      <c r="D6" s="3" t="inlineStr">
        <is>
          <t>By Client</t>
        </is>
      </c>
      <c r="E6" s="5" t="n">
        <v>4.5</v>
      </c>
      <c r="F6" s="3" t="n">
        <v>220</v>
      </c>
      <c r="G6" s="6">
        <f>F6*E6</f>
        <v/>
      </c>
      <c r="H6" s="4" t="n"/>
      <c r="I6" s="4" t="n"/>
      <c r="J6" s="3" t="b">
        <v>0</v>
      </c>
      <c r="K6" s="3" t="n"/>
      <c r="L6" s="4" t="n"/>
    </row>
    <row r="7" ht="18" customHeight="1">
      <c r="A7" s="7" t="n"/>
      <c r="B7" s="8" t="inlineStr">
        <is>
          <t>Ceiling Fan</t>
        </is>
      </c>
      <c r="C7" s="7" t="inlineStr">
        <is>
          <t>Each</t>
        </is>
      </c>
      <c r="D7" s="7" t="inlineStr">
        <is>
          <t>By Client</t>
        </is>
      </c>
      <c r="E7" s="9" t="n">
        <v>280</v>
      </c>
      <c r="F7" s="7" t="n">
        <v>1</v>
      </c>
      <c r="G7" s="10">
        <f>F7*E7</f>
        <v/>
      </c>
      <c r="H7" s="8" t="n"/>
      <c r="I7" s="8" t="n"/>
      <c r="J7" s="7" t="b">
        <v>0</v>
      </c>
      <c r="K7" s="7" t="n"/>
      <c r="L7" s="8" t="n"/>
    </row>
    <row r="8" ht="18" customHeight="1">
      <c r="A8" s="3" t="n"/>
      <c r="B8" s="4" t="inlineStr">
        <is>
          <t>Light Fixtures (recessed LED)</t>
        </is>
      </c>
      <c r="C8" s="3" t="inlineStr">
        <is>
          <t>Each</t>
        </is>
      </c>
      <c r="D8" s="3" t="inlineStr">
        <is>
          <t>By Client</t>
        </is>
      </c>
      <c r="E8" s="5" t="n">
        <v>85</v>
      </c>
      <c r="F8" s="3" t="n">
        <v>3</v>
      </c>
      <c r="G8" s="6">
        <f>F8*E8</f>
        <v/>
      </c>
      <c r="H8" s="4" t="n"/>
      <c r="I8" s="4" t="n"/>
      <c r="J8" s="3" t="b">
        <v>0</v>
      </c>
      <c r="K8" s="3" t="n"/>
      <c r="L8" s="4" t="n"/>
    </row>
    <row r="9" ht="18" customHeight="1">
      <c r="A9" s="7" t="n"/>
      <c r="B9" s="8" t="inlineStr">
        <is>
          <t>Interior Door Hardware</t>
        </is>
      </c>
      <c r="C9" s="7" t="inlineStr">
        <is>
          <t>Set</t>
        </is>
      </c>
      <c r="D9" s="7" t="inlineStr">
        <is>
          <t>By Client</t>
        </is>
      </c>
      <c r="E9" s="9" t="n">
        <v>120</v>
      </c>
      <c r="F9" s="7" t="n">
        <v>1</v>
      </c>
      <c r="G9" s="10">
        <f>F9*E9</f>
        <v/>
      </c>
      <c r="H9" s="8" t="n"/>
      <c r="I9" s="8" t="n"/>
      <c r="J9" s="7" t="b">
        <v>0</v>
      </c>
      <c r="K9" s="7" t="n"/>
      <c r="L9" s="8" t="n"/>
    </row>
    <row r="10" ht="18" customHeight="1">
      <c r="A10" s="3" t="n"/>
      <c r="B10" s="4" t="inlineStr">
        <is>
          <t>Paint</t>
        </is>
      </c>
      <c r="C10" s="3" t="inlineStr">
        <is>
          <t>Gallon</t>
        </is>
      </c>
      <c r="D10" s="3" t="inlineStr">
        <is>
          <t>By Client</t>
        </is>
      </c>
      <c r="E10" s="5" t="n">
        <v>55</v>
      </c>
      <c r="F10" s="3" t="n">
        <v>6</v>
      </c>
      <c r="G10" s="6">
        <f>F10*E10</f>
        <v/>
      </c>
      <c r="H10" s="4" t="n"/>
      <c r="I10" s="4" t="n"/>
      <c r="J10" s="3" t="b">
        <v>0</v>
      </c>
      <c r="K10" s="3" t="n"/>
      <c r="L10" s="4" t="n"/>
    </row>
    <row r="11" ht="18" customHeight="1">
      <c r="A11" s="7" t="n"/>
      <c r="B11" s="8" t="inlineStr">
        <is>
          <t>Tile Transition Strips</t>
        </is>
      </c>
      <c r="C11" s="7" t="inlineStr">
        <is>
          <t>Each</t>
        </is>
      </c>
      <c r="D11" s="7" t="inlineStr">
        <is>
          <t>By Client</t>
        </is>
      </c>
      <c r="E11" s="9" t="n">
        <v>35</v>
      </c>
      <c r="F11" s="7" t="n">
        <v>2</v>
      </c>
      <c r="G11" s="10">
        <f>F11*E11</f>
        <v/>
      </c>
      <c r="H11" s="8" t="n"/>
      <c r="I11" s="8" t="n"/>
      <c r="J11" s="7" t="b">
        <v>0</v>
      </c>
      <c r="K11" s="7" t="n"/>
      <c r="L11" s="8" t="n"/>
    </row>
    <row r="13" ht="20" customHeight="1">
      <c r="A13" s="11" t="inlineStr">
        <is>
          <t>Total Finish Material Cost — By Client</t>
        </is>
      </c>
      <c r="G13" s="12">
        <f>SUMIF($D$4:$D$11,"By Client",$G$4:$G$11)</f>
        <v/>
      </c>
      <c r="H13" s="13" t="n"/>
    </row>
    <row r="14" ht="20" customHeight="1">
      <c r="A14" s="14" t="inlineStr">
        <is>
          <t>Total Finish Material Cost — By Company</t>
        </is>
      </c>
      <c r="G14" s="15">
        <f>SUMIF($D$4:$D$11,"By Company",$G$4:$G$11)</f>
        <v/>
      </c>
      <c r="H14" s="16" t="n"/>
    </row>
    <row r="16" ht="22" customHeight="1">
      <c r="A16" s="17" t="inlineStr">
        <is>
          <t>Columns 'Material', 'Unit', 'Supplied By', 'Unit Price', 'Quantity', and 'Total Price' are auto-filled by the onboarding workflow. All other columns are filled manually by the PM.</t>
        </is>
      </c>
    </row>
  </sheetData>
  <mergeCells count="6">
    <mergeCell ref="A16:L16"/>
    <mergeCell ref="A13:F13"/>
    <mergeCell ref="A14:F14"/>
    <mergeCell ref="A1:L1"/>
    <mergeCell ref="H14:L14"/>
    <mergeCell ref="H13:L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2026-06-24T07:16:26Z</dcterms:created>
  <dcterms:modified xmlns:dcterms="http://purl.org/dc/terms/" xmlns:xsi="http://www.w3.org/2001/XMLSchema-instance" xsi:type="dcterms:W3CDTF">2026-06-24T07:16:26Z</dcterms:modified>
</cp:coreProperties>
</file>